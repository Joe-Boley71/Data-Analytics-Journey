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Charts" sheetId="2" r:id="rId6"/>
  </sheets>
  <definedNames/>
  <calcPr/>
  <pivotCaches>
    <pivotCache cacheId="0" r:id="rId7"/>
    <pivotCache cacheId="1" r:id="rId8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tc={8162cde3-1bc3-48c4-bcb1-62afbd43eee5}</author>
  </authors>
  <commentList>
    <comment authorId="0" xr:uid="{8162cde3-1bc3-48c4-bcb1-62afbd43eee5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Felt weird without having these totals, especially with the newer formulas being recommended 05.16 JB
</t>
      </text>
    </comment>
  </commentList>
</comments>
</file>

<file path=xl/sharedStrings.xml><?xml version="1.0" encoding="utf-8"?>
<sst xmlns="http://schemas.openxmlformats.org/spreadsheetml/2006/main" count="45" uniqueCount="31">
  <si>
    <t>Product</t>
  </si>
  <si>
    <t>Category</t>
  </si>
  <si>
    <t>Jan Sales</t>
  </si>
  <si>
    <t>Feb Sales</t>
  </si>
  <si>
    <t>Mar Sales</t>
  </si>
  <si>
    <t>Total</t>
  </si>
  <si>
    <t>Summary Section:</t>
  </si>
  <si>
    <t>Laptop</t>
  </si>
  <si>
    <t>Electronics</t>
  </si>
  <si>
    <t>Total Sales:</t>
  </si>
  <si>
    <t>Values</t>
  </si>
  <si>
    <t>Smartphone</t>
  </si>
  <si>
    <t>Average Monthly Sales:</t>
  </si>
  <si>
    <t>January Sales</t>
  </si>
  <si>
    <t>Headphones</t>
  </si>
  <si>
    <t xml:space="preserve">Best Month </t>
  </si>
  <si>
    <t>Febuary Sales</t>
  </si>
  <si>
    <t>Desk Chair</t>
  </si>
  <si>
    <t>Furniture</t>
  </si>
  <si>
    <t>Worst Month</t>
  </si>
  <si>
    <t>March Sales</t>
  </si>
  <si>
    <t>Coffee Maker</t>
  </si>
  <si>
    <t>Appliances</t>
  </si>
  <si>
    <t>Blender</t>
  </si>
  <si>
    <t>SUM of Total</t>
  </si>
  <si>
    <t>T-Shirt</t>
  </si>
  <si>
    <t>Clothing</t>
  </si>
  <si>
    <t>Jeans</t>
  </si>
  <si>
    <t>Sneakers</t>
  </si>
  <si>
    <t>Footware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</si>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</sst>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1.0"/>
      <color theme="1"/>
      <name val="Calibri"/>
      <scheme val="minor"/>
    </font>
    <font>
      <sz val="11.0"/>
      <color theme="1"/>
      <name val="Aptos Narrow"/>
    </font>
    <font>
      <b/>
      <i/>
      <sz val="14.0"/>
      <color theme="1"/>
      <name val="Calibri"/>
    </font>
    <font/>
    <font>
      <b/>
      <i/>
      <sz val="11.0"/>
      <color theme="1"/>
      <name val="Calibri"/>
    </font>
    <font>
      <i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1"/>
    </xf>
    <xf borderId="2" fillId="0" fontId="1" numFmtId="0" xfId="0" applyAlignment="1" applyBorder="1" applyFont="1">
      <alignment horizontal="left" readingOrder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1"/>
    </xf>
    <xf borderId="3" fillId="0" fontId="2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left" readingOrder="1"/>
    </xf>
    <xf borderId="6" fillId="0" fontId="1" numFmtId="0" xfId="0" applyAlignment="1" applyBorder="1" applyFont="1">
      <alignment horizontal="left" readingOrder="1"/>
    </xf>
    <xf borderId="7" fillId="0" fontId="1" numFmtId="164" xfId="0" applyAlignment="1" applyBorder="1" applyFont="1" applyNumberFormat="1">
      <alignment horizontal="left" readingOrder="1" shrinkToFit="0" vertical="center" wrapText="0"/>
    </xf>
    <xf borderId="6" fillId="0" fontId="1" numFmtId="164" xfId="0" applyAlignment="1" applyBorder="1" applyFont="1" applyNumberFormat="1">
      <alignment horizontal="left" readingOrder="1" shrinkToFit="0" vertical="center" wrapText="0"/>
    </xf>
    <xf borderId="8" fillId="0" fontId="1" numFmtId="164" xfId="0" applyAlignment="1" applyBorder="1" applyFont="1" applyNumberFormat="1">
      <alignment horizontal="left" readingOrder="1" shrinkToFit="0" vertical="center" wrapText="0"/>
    </xf>
    <xf borderId="0" fillId="0" fontId="1" numFmtId="164" xfId="0" applyAlignment="1" applyFont="1" applyNumberFormat="1">
      <alignment horizontal="left" readingOrder="1"/>
    </xf>
    <xf borderId="9" fillId="0" fontId="4" numFmtId="0" xfId="0" applyBorder="1" applyFont="1"/>
    <xf borderId="9" fillId="0" fontId="5" numFmtId="164" xfId="0" applyBorder="1" applyFont="1" applyNumberFormat="1"/>
    <xf borderId="0" fillId="0" fontId="6" numFmtId="0" xfId="0" applyFont="1"/>
    <xf borderId="9" fillId="2" fontId="4" numFmtId="0" xfId="0" applyBorder="1" applyFill="1" applyFont="1"/>
    <xf borderId="0" fillId="0" fontId="6" numFmtId="164" xfId="0" applyFont="1" applyNumberFormat="1"/>
    <xf borderId="0" fillId="0" fontId="6" numFmtId="0" xfId="0" applyAlignment="1" applyFont="1">
      <alignment readingOrder="0"/>
    </xf>
    <xf borderId="10" fillId="0" fontId="1" numFmtId="164" xfId="0" applyAlignment="1" applyBorder="1" applyFont="1" applyNumberFormat="1">
      <alignment horizontal="left" readingOrder="1" shrinkToFit="0" vertical="center" wrapText="0"/>
    </xf>
    <xf borderId="11" fillId="0" fontId="1" numFmtId="164" xfId="0" applyAlignment="1" applyBorder="1" applyFont="1" applyNumberFormat="1">
      <alignment horizontal="left" readingOrder="1" shrinkToFit="0" vertical="center" wrapText="0"/>
    </xf>
    <xf borderId="12" fillId="0" fontId="1" numFmtId="164" xfId="0" applyAlignment="1" applyBorder="1" applyFont="1" applyNumberFormat="1">
      <alignment horizontal="left" readingOrder="1" shrinkToFit="0" vertical="center" wrapText="0"/>
    </xf>
    <xf borderId="13" fillId="0" fontId="1" numFmtId="0" xfId="0" applyAlignment="1" applyBorder="1" applyFont="1">
      <alignment horizontal="left" readingOrder="1"/>
    </xf>
    <xf borderId="14" fillId="0" fontId="1" numFmtId="0" xfId="0" applyAlignment="1" applyBorder="1" applyFont="1">
      <alignment horizontal="left" readingOrder="1"/>
    </xf>
    <xf borderId="0" fillId="0" fontId="7" numFmtId="0" xfId="0" applyFont="1"/>
    <xf borderId="0" fillId="0" fontId="7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s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Arial black"/>
              </a:defRPr>
            </a:pPr>
            <a:r>
              <a:rPr b="1" i="1">
                <a:solidFill>
                  <a:srgbClr val="757575"/>
                </a:solidFill>
                <a:latin typeface="Arial black"/>
              </a:rPr>
              <a:t>Monthly Sales Trends (Total)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Dataset!$AL$2</c:f>
            </c:strRef>
          </c:tx>
          <c:spPr>
            <a:ln cmpd="sng" w="19050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Dataset!$AM$3:$AM$5</c:f>
            </c:strRef>
          </c:cat>
          <c:val>
            <c:numRef>
              <c:f>Dataset!$AL$3:$AL$5</c:f>
              <c:numCache/>
            </c:numRef>
          </c:val>
          <c:smooth val="1"/>
        </c:ser>
        <c:axId val="1971119469"/>
        <c:axId val="1666666985"/>
      </c:lineChart>
      <c:catAx>
        <c:axId val="1971119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666666985"/>
      </c:catAx>
      <c:valAx>
        <c:axId val="1666666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9711194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00000"/>
                </a:solidFill>
                <a:latin typeface="Arial black"/>
              </a:defRPr>
            </a:pPr>
            <a:r>
              <a:rPr b="1" i="1">
                <a:solidFill>
                  <a:srgbClr val="000000"/>
                </a:solidFill>
                <a:latin typeface="Arial black"/>
              </a:rPr>
              <a:t>Product Category Breakdown (Sales)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Dataset!$AL$7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explosion val="25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Dataset!$AK$8:$AK$12</c:f>
            </c:strRef>
          </c:cat>
          <c:val>
            <c:numRef>
              <c:f>Dataset!$AL$8:$AL$12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l"/>
      <c:layout>
        <c:manualLayout>
          <c:xMode val="edge"/>
          <c:yMode val="edge"/>
          <c:x val="0.03425"/>
          <c:y val="0.33939802336028746"/>
        </c:manualLayout>
      </c:layout>
      <c:overlay val="0"/>
      <c:txPr>
        <a:bodyPr/>
        <a:lstStyle/>
        <a:p>
          <a:pPr lvl="0">
            <a:defRPr b="0" i="1">
              <a:solidFill>
                <a:srgbClr val="000000"/>
              </a:solidFill>
              <a:latin typeface="Arial black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419100</xdr:colOff>
      <xdr:row>12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12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seph Boley" id="{eb336cb9-cab7-4c59-a85d-0abb8730cab2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E10" sheet="Dataset"/>
  </cacheSource>
  <cacheFields>
    <cacheField name="Jan Sales" numFmtId="164">
      <sharedItems containsSemiMixedTypes="0" containsString="0" containsNumber="1" containsInteger="1">
        <n v="1200.0"/>
        <n v="800.0"/>
        <n v="150.0"/>
        <n v="350.0"/>
        <n v="120.0"/>
        <n v="80.0"/>
        <n v="200.0"/>
        <n v="300.0"/>
        <n v="250.0"/>
      </sharedItems>
    </cacheField>
    <cacheField name="Feb Sales" numFmtId="164">
      <sharedItems containsSemiMixedTypes="0" containsString="0" containsNumber="1" containsInteger="1">
        <n v="1400.0"/>
        <n v="950.0"/>
        <n v="200.0"/>
        <n v="300.0"/>
        <n v="140.0"/>
        <n v="100.0"/>
        <n v="250.0"/>
        <n v="350.0"/>
        <n v="280.0"/>
      </sharedItems>
    </cacheField>
    <cacheField name="Mar Sales" numFmtId="164">
      <sharedItems containsSemiMixedTypes="0" containsString="0" containsNumber="1" containsInteger="1">
        <n v="1350.0"/>
        <n v="1100.0"/>
        <n v="250.0"/>
        <n v="400.0"/>
        <n v="160.0"/>
        <n v="110.0"/>
        <n v="300.0"/>
        <n v="32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" sheet="Dataset"/>
  </cacheSource>
  <cacheFields>
    <cacheField name="Product" numFmtId="0">
      <sharedItems>
        <s v="Laptop"/>
        <s v="Smartphone"/>
        <s v="Headphones"/>
        <s v="Desk Chair"/>
        <s v="Coffee Maker"/>
        <s v="Blender"/>
        <s v="T-Shirt"/>
        <s v="Jeans"/>
        <s v="Sneakers"/>
      </sharedItems>
    </cacheField>
    <cacheField name="Category" numFmtId="0">
      <sharedItems>
        <s v="Electronics"/>
        <s v="Furniture"/>
        <s v="Appliances"/>
        <s v="Clothing"/>
        <s v="Footware"/>
      </sharedItems>
    </cacheField>
    <cacheField name="Jan Sales" numFmtId="164">
      <sharedItems containsSemiMixedTypes="0" containsString="0" containsNumber="1" containsInteger="1">
        <n v="1200.0"/>
        <n v="800.0"/>
        <n v="150.0"/>
        <n v="350.0"/>
        <n v="120.0"/>
        <n v="80.0"/>
        <n v="200.0"/>
        <n v="300.0"/>
        <n v="250.0"/>
      </sharedItems>
    </cacheField>
    <cacheField name="Feb Sales" numFmtId="164">
      <sharedItems containsSemiMixedTypes="0" containsString="0" containsNumber="1" containsInteger="1">
        <n v="1400.0"/>
        <n v="950.0"/>
        <n v="200.0"/>
        <n v="300.0"/>
        <n v="140.0"/>
        <n v="100.0"/>
        <n v="250.0"/>
        <n v="350.0"/>
        <n v="280.0"/>
      </sharedItems>
    </cacheField>
    <cacheField name="Mar Sales" numFmtId="164">
      <sharedItems containsSemiMixedTypes="0" containsString="0" containsNumber="1" containsInteger="1">
        <n v="1350.0"/>
        <n v="1100.0"/>
        <n v="250.0"/>
        <n v="400.0"/>
        <n v="160.0"/>
        <n v="110.0"/>
        <n v="300.0"/>
        <n v="320.0"/>
      </sharedItems>
    </cacheField>
    <cacheField name="Total" numFmtId="164">
      <sharedItems containsSemiMixedTypes="0" containsString="0" containsNumber="1" containsInteger="1">
        <n v="3950.0"/>
        <n v="2850.0"/>
        <n v="600.0"/>
        <n v="1050.0"/>
        <n v="420.0"/>
        <n v="290.0"/>
        <n v="750.0"/>
        <n v="85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ataset" cacheId="0" dataOnRows="1" dataCaption="" compact="0" compactData="0">
  <location ref="AK2:AL5" firstHeaderRow="0" firstDataRow="1" firstDataCol="0"/>
  <pivotFields>
    <pivotField name="Jan 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eb 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 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-2"/>
  </rowFields>
  <dataFields>
    <dataField name="January Sales" fld="0" baseField="0"/>
    <dataField name="Febuary Sales" fld="1" baseField="0"/>
    <dataField name="March Sales" fld="2" baseField="0"/>
  </dataFields>
</pivotTableDefinition>
</file>

<file path=xl/pivotTables/pivotTable2.xml><?xml version="1.0" encoding="utf-8"?>
<pivotTableDefinition xmlns="http://schemas.openxmlformats.org/spreadsheetml/2006/main" name="Dataset 2" cacheId="1" dataCaption="" compact="0" compactData="0">
  <location ref="AK7:AL13" firstHeaderRow="0" firstDataRow="1" firstDataCol="0"/>
  <pivotFields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tegory" axis="axisRow" compact="0" outline="0" multipleItemSelectionAllowed="1" showAll="0" sortType="ascending">
      <items>
        <item x="2"/>
        <item x="3"/>
        <item x="0"/>
        <item x="4"/>
        <item x="1"/>
        <item t="default"/>
      </items>
    </pivotField>
    <pivotField name="Jan 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eb 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r 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1"/>
  </rowFields>
  <dataFields>
    <dataField name="SUM of Total" fld="5" baseField="0"/>
  </dataFields>
</pivotTableDefinition>
</file>

<file path=xl/tables/table1.xml><?xml version="1.0" encoding="utf-8"?>
<table xmlns="http://schemas.openxmlformats.org/spreadsheetml/2006/main" ref="C1:F11" displayName="Table1" name="Table1" id="1">
  <tableColumns count="4">
    <tableColumn name="Jan Sales" id="1"/>
    <tableColumn name="Feb Sales" id="2"/>
    <tableColumn name="Mar Sales" id="3"/>
    <tableColumn name="Total" id="4"/>
  </tableColumns>
  <tableStyleInfo name="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1" dT="2026-05-16T20:24:16.00" personId="{eb336cb9-cab7-4c59-a85d-0abb8730cab2}" id="{8162cde3-1bc3-48c4-bcb1-62afbd43eee5}" done="1">
    <x18tc:text xml:space="preserve">Felt weird without having these totals, especially with the newer formulas being recommended 05.16 JB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pivotTable" Target="../pivotTables/pivotTable1.xml"/><Relationship Id="rId9" Type="http://schemas.openxmlformats.org/officeDocument/2006/relationships/table" Target="../tables/table1.xml"/><Relationship Id="rId5" Type="http://schemas.openxmlformats.org/officeDocument/2006/relationships/pivotTable" Target="../pivotTables/pivotTable2.xm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0.43"/>
    <col customWidth="1" min="3" max="3" width="15.29"/>
    <col customWidth="1" min="4" max="5" width="19.43"/>
    <col customWidth="1" min="6" max="7" width="10.71"/>
    <col customWidth="1" min="8" max="8" width="8.71"/>
    <col customWidth="1" min="9" max="9" width="21.71"/>
    <col customWidth="1" min="10" max="10" width="22.0"/>
    <col customWidth="1" min="11" max="11" width="18.14"/>
    <col customWidth="1" min="12" max="36" width="8.71"/>
    <col customWidth="1" min="37" max="37" width="12.86"/>
    <col customWidth="1" min="38" max="38" width="12.0"/>
    <col customWidth="1" min="39" max="76" width="8.71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/>
      <c r="I1" s="6" t="s">
        <v>6</v>
      </c>
      <c r="J1" s="7"/>
    </row>
    <row r="2" ht="22.5" customHeight="1">
      <c r="A2" s="8" t="s">
        <v>7</v>
      </c>
      <c r="B2" s="9" t="s">
        <v>8</v>
      </c>
      <c r="C2" s="10">
        <v>1200.0</v>
      </c>
      <c r="D2" s="11">
        <v>1400.0</v>
      </c>
      <c r="E2" s="11">
        <v>1350.0</v>
      </c>
      <c r="F2" s="12">
        <f t="shared" ref="F2:F11" si="1">SUM(C2:E2)</f>
        <v>3950</v>
      </c>
      <c r="G2" s="13"/>
      <c r="I2" s="14" t="s">
        <v>9</v>
      </c>
      <c r="J2" s="15">
        <f>SUM(F2:F11)</f>
        <v>11810</v>
      </c>
    </row>
    <row r="3" ht="22.5" customHeight="1">
      <c r="A3" s="8" t="s">
        <v>11</v>
      </c>
      <c r="B3" s="9" t="s">
        <v>8</v>
      </c>
      <c r="C3" s="10">
        <v>800.0</v>
      </c>
      <c r="D3" s="11">
        <v>950.0</v>
      </c>
      <c r="E3" s="11">
        <v>1100.0</v>
      </c>
      <c r="F3" s="12">
        <f t="shared" si="1"/>
        <v>2850</v>
      </c>
      <c r="G3" s="13"/>
      <c r="I3" s="17" t="s">
        <v>12</v>
      </c>
      <c r="J3" s="15">
        <f>AVERAGE(C2:E10)</f>
        <v>437.4074074</v>
      </c>
      <c r="AM3" s="19" t="s">
        <v>2</v>
      </c>
    </row>
    <row r="4" ht="22.5" customHeight="1">
      <c r="A4" s="8" t="s">
        <v>14</v>
      </c>
      <c r="B4" s="9" t="s">
        <v>8</v>
      </c>
      <c r="C4" s="10">
        <v>150.0</v>
      </c>
      <c r="D4" s="11">
        <v>200.0</v>
      </c>
      <c r="E4" s="11">
        <v>250.0</v>
      </c>
      <c r="F4" s="12">
        <f t="shared" si="1"/>
        <v>600</v>
      </c>
      <c r="G4" s="13"/>
      <c r="I4" s="17" t="s">
        <v>15</v>
      </c>
      <c r="J4" s="15">
        <f>MAX(C2:E10)</f>
        <v>1400</v>
      </c>
      <c r="AM4" s="19" t="s">
        <v>3</v>
      </c>
    </row>
    <row r="5" ht="22.5" customHeight="1">
      <c r="A5" s="8" t="s">
        <v>17</v>
      </c>
      <c r="B5" s="9" t="s">
        <v>18</v>
      </c>
      <c r="C5" s="10">
        <v>350.0</v>
      </c>
      <c r="D5" s="11">
        <v>300.0</v>
      </c>
      <c r="E5" s="11">
        <v>400.0</v>
      </c>
      <c r="F5" s="12">
        <f t="shared" si="1"/>
        <v>1050</v>
      </c>
      <c r="G5" s="13"/>
      <c r="I5" s="17" t="s">
        <v>19</v>
      </c>
      <c r="J5" s="15">
        <f>MIN(C2:E10)</f>
        <v>80</v>
      </c>
      <c r="AM5" s="19" t="s">
        <v>20</v>
      </c>
    </row>
    <row r="6" ht="22.5" customHeight="1">
      <c r="A6" s="8" t="s">
        <v>21</v>
      </c>
      <c r="B6" s="9" t="s">
        <v>22</v>
      </c>
      <c r="C6" s="10">
        <v>120.0</v>
      </c>
      <c r="D6" s="11">
        <v>140.0</v>
      </c>
      <c r="E6" s="11">
        <v>160.0</v>
      </c>
      <c r="F6" s="12">
        <f t="shared" si="1"/>
        <v>420</v>
      </c>
      <c r="G6" s="13"/>
    </row>
    <row r="7" ht="22.5" customHeight="1">
      <c r="A7" s="8" t="s">
        <v>23</v>
      </c>
      <c r="B7" s="9" t="s">
        <v>22</v>
      </c>
      <c r="C7" s="10">
        <v>80.0</v>
      </c>
      <c r="D7" s="11">
        <v>100.0</v>
      </c>
      <c r="E7" s="11">
        <v>110.0</v>
      </c>
      <c r="F7" s="12">
        <f t="shared" si="1"/>
        <v>290</v>
      </c>
      <c r="G7" s="13"/>
    </row>
    <row r="8" ht="22.5" customHeight="1">
      <c r="A8" s="8" t="s">
        <v>25</v>
      </c>
      <c r="B8" s="9" t="s">
        <v>26</v>
      </c>
      <c r="C8" s="10">
        <v>200.0</v>
      </c>
      <c r="D8" s="11">
        <v>250.0</v>
      </c>
      <c r="E8" s="11">
        <v>300.0</v>
      </c>
      <c r="F8" s="12">
        <f t="shared" si="1"/>
        <v>750</v>
      </c>
      <c r="G8" s="13"/>
    </row>
    <row r="9" ht="22.5" customHeight="1">
      <c r="A9" s="8" t="s">
        <v>27</v>
      </c>
      <c r="B9" s="9" t="s">
        <v>26</v>
      </c>
      <c r="C9" s="10">
        <v>300.0</v>
      </c>
      <c r="D9" s="11">
        <v>350.0</v>
      </c>
      <c r="E9" s="11">
        <v>400.0</v>
      </c>
      <c r="F9" s="12">
        <f t="shared" si="1"/>
        <v>1050</v>
      </c>
      <c r="G9" s="13"/>
    </row>
    <row r="10" ht="22.5" customHeight="1">
      <c r="A10" s="8" t="s">
        <v>28</v>
      </c>
      <c r="B10" s="9" t="s">
        <v>29</v>
      </c>
      <c r="C10" s="20">
        <v>250.0</v>
      </c>
      <c r="D10" s="21">
        <v>280.0</v>
      </c>
      <c r="E10" s="21">
        <v>320.0</v>
      </c>
      <c r="F10" s="22">
        <f t="shared" si="1"/>
        <v>850</v>
      </c>
      <c r="G10" s="13"/>
    </row>
    <row r="11" ht="22.5" customHeight="1">
      <c r="A11" s="23" t="s">
        <v>5</v>
      </c>
      <c r="B11" s="24"/>
      <c r="C11" s="20"/>
      <c r="D11" s="21"/>
      <c r="E11" s="21"/>
      <c r="F11" s="22">
        <f t="shared" si="1"/>
        <v>0</v>
      </c>
      <c r="G11" s="13"/>
      <c r="I11" s="25"/>
    </row>
    <row r="12">
      <c r="I12" s="25"/>
    </row>
    <row r="13">
      <c r="C13" s="26"/>
      <c r="I13" s="25"/>
    </row>
    <row r="14">
      <c r="C14" s="26"/>
      <c r="D14" s="26"/>
      <c r="I14" s="25"/>
    </row>
    <row r="15">
      <c r="I15" s="25"/>
    </row>
    <row r="16">
      <c r="I16" s="25"/>
    </row>
    <row r="17">
      <c r="I17" s="25"/>
    </row>
    <row r="18">
      <c r="I18" s="25"/>
    </row>
    <row r="19">
      <c r="D19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1:J1"/>
  </mergeCells>
  <dataValidations>
    <dataValidation type="custom" allowBlank="1" showDropDown="1" sqref="C2:F11">
      <formula1>AND(ISNUMBER(C2),(NOT(OR(NOT(ISERROR(DATEVALUE(C2))), AND(ISNUMBER(C2), LEFT(CELL("format", C2))="D")))))</formula1>
    </dataValidation>
  </dataValidations>
  <printOptions/>
  <pageMargins bottom="0.75" footer="0.0" header="0.0" left="0.7" right="0.7" top="0.75"/>
  <pageSetup orientation="landscape"/>
  <drawing r:id="rId6"/>
  <legacy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