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07F6639F-C484-4E86-A0B3-B9D9A9B5B42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  <sheet name="Charts" sheetId="2" r:id="rId2"/>
  </sheets>
  <calcPr calcId="191028"/>
  <pivotCaches>
    <pivotCache cacheId="796" r:id="rId3"/>
    <pivotCache cacheId="79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J5" i="1"/>
  <c r="F5" i="1"/>
  <c r="J4" i="1"/>
  <c r="F4" i="1"/>
  <c r="J3" i="1"/>
  <c r="F3" i="1"/>
  <c r="F2" i="1"/>
  <c r="J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tc={8162cde3-1bc3-48c4-bcb1-62afbd43eee5}</author>
  </authors>
  <commentList>
    <comment ref="D11" authorId="0" shapeId="0" xr:uid="{8162CDE3-1BC3-48C4-BCB1-62AFBD43EEE5}">
      <text>
        <t>[Threaded comment]
Your version of Excel allows you to read this threaded comment; however, any edits to it will get removed if the file is opened in a newer version of Excel. Learn more: https://go.microsoft.com/fwlink/?linkid=870924
Comment:
    Felt weird without having these totals, especially with the newer formulas being recommended 05.16 JB</t>
      </text>
    </comment>
  </commentList>
</comments>
</file>

<file path=xl/sharedStrings.xml><?xml version="1.0" encoding="utf-8"?>
<sst xmlns="http://schemas.openxmlformats.org/spreadsheetml/2006/main" count="45" uniqueCount="31">
  <si>
    <t>Product</t>
  </si>
  <si>
    <t>Category</t>
  </si>
  <si>
    <t>Jan Sales</t>
  </si>
  <si>
    <t>Feb Sales</t>
  </si>
  <si>
    <t>Mar Sales</t>
  </si>
  <si>
    <t>Total</t>
  </si>
  <si>
    <t>Summary Section:</t>
  </si>
  <si>
    <t>Laptop</t>
  </si>
  <si>
    <t>Electronics</t>
  </si>
  <si>
    <t>Total Sales:</t>
  </si>
  <si>
    <t/>
  </si>
  <si>
    <t>Smartphone</t>
  </si>
  <si>
    <t>Average Monthly Sales:</t>
  </si>
  <si>
    <t>January Sales</t>
  </si>
  <si>
    <t>Headphones</t>
  </si>
  <si>
    <t xml:space="preserve">Best Month </t>
  </si>
  <si>
    <t>Febuary Sales</t>
  </si>
  <si>
    <t>Desk Chair</t>
  </si>
  <si>
    <t>Furniture</t>
  </si>
  <si>
    <t>Worst Month</t>
  </si>
  <si>
    <t>March Sales</t>
  </si>
  <si>
    <t>Coffee Maker</t>
  </si>
  <si>
    <t>Appliances</t>
  </si>
  <si>
    <t>Blender</t>
  </si>
  <si>
    <t>SUM of Total</t>
  </si>
  <si>
    <t>T-Shirt</t>
  </si>
  <si>
    <t>Clothing</t>
  </si>
  <si>
    <t>Jeans</t>
  </si>
  <si>
    <t>Sneakers</t>
  </si>
  <si>
    <t>Footware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</si>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</sst>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8">
    <font>
      <sz val="11"/>
      <color theme="1"/>
      <name val="Calibri"/>
      <scheme val="minor"/>
    </font>
    <font>
      <sz val="11"/>
      <color theme="1"/>
      <name val="Aptos Narrow"/>
    </font>
    <font>
      <b/>
      <i/>
      <sz val="14"/>
      <color theme="1"/>
      <name val="Calibri"/>
    </font>
    <font>
      <sz val="11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CCCCCC"/>
      </left>
      <right style="thin">
        <color rgb="FF356854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356854"/>
      </bottom>
      <diagonal/>
    </border>
    <border>
      <left style="thin">
        <color rgb="FFCCCCCC"/>
      </left>
      <right style="thin">
        <color rgb="FF356854"/>
      </right>
      <top style="thin">
        <color rgb="FFCCCCCC"/>
      </top>
      <bottom style="thin">
        <color rgb="FF35685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 style="thin">
        <color rgb="FFCCCCCC"/>
      </top>
      <bottom style="thin">
        <color rgb="FF356854"/>
      </bottom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left" readingOrder="1"/>
    </xf>
    <xf numFmtId="0" fontId="1" fillId="0" borderId="2" xfId="0" applyFont="1" applyBorder="1" applyAlignment="1">
      <alignment horizontal="left" readingOrder="1"/>
    </xf>
    <xf numFmtId="0" fontId="1" fillId="0" borderId="0" xfId="0" applyFont="1" applyAlignment="1">
      <alignment horizontal="left" readingOrder="1"/>
    </xf>
    <xf numFmtId="0" fontId="1" fillId="0" borderId="3" xfId="0" applyFont="1" applyBorder="1" applyAlignment="1">
      <alignment horizontal="left" readingOrder="1"/>
    </xf>
    <xf numFmtId="0" fontId="1" fillId="0" borderId="4" xfId="0" applyFont="1" applyBorder="1" applyAlignment="1">
      <alignment horizontal="left" readingOrder="1"/>
    </xf>
    <xf numFmtId="164" fontId="1" fillId="0" borderId="0" xfId="0" applyNumberFormat="1" applyFont="1" applyAlignment="1">
      <alignment horizontal="left" readingOrder="1"/>
    </xf>
    <xf numFmtId="0" fontId="4" fillId="0" borderId="5" xfId="0" applyFont="1" applyBorder="1"/>
    <xf numFmtId="164" fontId="5" fillId="0" borderId="5" xfId="0" applyNumberFormat="1" applyFont="1" applyBorder="1"/>
    <xf numFmtId="0" fontId="4" fillId="2" borderId="5" xfId="0" applyFont="1" applyFill="1" applyBorder="1"/>
    <xf numFmtId="0" fontId="6" fillId="0" borderId="0" xfId="0" applyFont="1" applyAlignment="1"/>
    <xf numFmtId="0" fontId="1" fillId="0" borderId="7" xfId="0" applyFont="1" applyBorder="1" applyAlignment="1">
      <alignment horizontal="left" readingOrder="1"/>
    </xf>
    <xf numFmtId="0" fontId="1" fillId="0" borderId="8" xfId="0" applyFont="1" applyBorder="1" applyAlignment="1">
      <alignment horizontal="left" readingOrder="1"/>
    </xf>
    <xf numFmtId="0" fontId="7" fillId="0" borderId="0" xfId="0" applyFont="1"/>
    <xf numFmtId="164" fontId="7" fillId="0" borderId="0" xfId="0" applyNumberFormat="1" applyFont="1"/>
    <xf numFmtId="0" fontId="0" fillId="0" borderId="9" xfId="0" pivotButton="1" applyFont="1" applyBorder="1" applyAlignment="1"/>
    <xf numFmtId="0" fontId="0" fillId="0" borderId="10" xfId="0" applyFont="1" applyBorder="1" applyAlignment="1"/>
    <xf numFmtId="0" fontId="0" fillId="0" borderId="9" xfId="0" applyFont="1" applyBorder="1" applyAlignment="1"/>
    <xf numFmtId="0" fontId="0" fillId="0" borderId="10" xfId="0" applyNumberFormat="1" applyFont="1" applyBorder="1" applyAlignment="1"/>
    <xf numFmtId="0" fontId="0" fillId="0" borderId="11" xfId="0" applyFont="1" applyBorder="1" applyAlignment="1"/>
    <xf numFmtId="0" fontId="0" fillId="0" borderId="12" xfId="0" applyNumberFormat="1" applyFont="1" applyBorder="1" applyAlignment="1"/>
    <xf numFmtId="0" fontId="0" fillId="0" borderId="13" xfId="0" applyFont="1" applyBorder="1" applyAlignment="1"/>
    <xf numFmtId="0" fontId="0" fillId="0" borderId="14" xfId="0" applyNumberFormat="1" applyFont="1" applyBorder="1" applyAlignment="1"/>
    <xf numFmtId="0" fontId="0" fillId="0" borderId="15" xfId="0" applyFont="1" applyBorder="1" applyAlignment="1"/>
    <xf numFmtId="0" fontId="0" fillId="0" borderId="16" xfId="0" applyNumberFormat="1" applyFont="1" applyBorder="1" applyAlignment="1"/>
    <xf numFmtId="0" fontId="1" fillId="3" borderId="17" xfId="0" applyFont="1" applyFill="1" applyBorder="1" applyAlignment="1">
      <alignment horizontal="left" vertical="center"/>
    </xf>
    <xf numFmtId="164" fontId="1" fillId="2" borderId="6" xfId="0" applyNumberFormat="1" applyFont="1" applyFill="1" applyBorder="1" applyAlignment="1">
      <alignment horizontal="left" vertical="center" readingOrder="1"/>
    </xf>
    <xf numFmtId="164" fontId="1" fillId="2" borderId="18" xfId="0" applyNumberFormat="1" applyFont="1" applyFill="1" applyBorder="1" applyAlignment="1">
      <alignment horizontal="left" vertical="center" readingOrder="1"/>
    </xf>
    <xf numFmtId="164" fontId="1" fillId="4" borderId="6" xfId="0" applyNumberFormat="1" applyFont="1" applyFill="1" applyBorder="1" applyAlignment="1">
      <alignment horizontal="left" vertical="center" readingOrder="1"/>
    </xf>
    <xf numFmtId="164" fontId="1" fillId="4" borderId="18" xfId="0" applyNumberFormat="1" applyFont="1" applyFill="1" applyBorder="1" applyAlignment="1">
      <alignment horizontal="left" vertical="center" readingOrder="1"/>
    </xf>
    <xf numFmtId="164" fontId="1" fillId="4" borderId="19" xfId="0" applyNumberFormat="1" applyFont="1" applyFill="1" applyBorder="1" applyAlignment="1">
      <alignment horizontal="left" vertical="center" readingOrder="1"/>
    </xf>
    <xf numFmtId="164" fontId="1" fillId="4" borderId="20" xfId="0" applyNumberFormat="1" applyFont="1" applyFill="1" applyBorder="1" applyAlignment="1">
      <alignment horizontal="left" vertical="center" readingOrder="1"/>
    </xf>
    <xf numFmtId="0" fontId="2" fillId="0" borderId="21" xfId="0" applyFont="1" applyBorder="1" applyAlignment="1">
      <alignment horizontal="center"/>
    </xf>
    <xf numFmtId="0" fontId="0" fillId="4" borderId="23" xfId="0" applyFill="1" applyBorder="1"/>
    <xf numFmtId="164" fontId="1" fillId="4" borderId="24" xfId="0" applyNumberFormat="1" applyFont="1" applyFill="1" applyBorder="1" applyAlignment="1">
      <alignment horizontal="left" vertical="center" readingOrder="1"/>
    </xf>
    <xf numFmtId="164" fontId="1" fillId="2" borderId="25" xfId="0" applyNumberFormat="1" applyFont="1" applyFill="1" applyBorder="1" applyAlignment="1">
      <alignment horizontal="left" vertical="center" readingOrder="1"/>
    </xf>
    <xf numFmtId="164" fontId="1" fillId="4" borderId="25" xfId="0" applyNumberFormat="1" applyFont="1" applyFill="1" applyBorder="1" applyAlignment="1">
      <alignment horizontal="left" vertical="center" readingOrder="1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22" xfId="0" applyFont="1" applyBorder="1" applyAlignme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&quot;$&quot;#,##0.00"/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&quot;$&quot;#,##0.00"/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&quot;$&quot;#,##0.00"/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/>
        <right/>
        <top style="thin">
          <color rgb="FFCCCCCC"/>
        </top>
        <bottom/>
        <vertical/>
        <horizontal/>
      </border>
    </dxf>
    <dxf>
      <border outline="0">
        <left style="thin">
          <color rgb="FF356854"/>
        </left>
        <top style="thin">
          <color rgb="FF356854"/>
        </top>
      </border>
    </dxf>
    <dxf>
      <font>
        <b/>
        <i/>
        <color rgb="FF006100"/>
      </font>
      <fill>
        <patternFill patternType="solid">
          <bgColor rgb="FF00B05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ataset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Solutions -- Joseph Boley.xlsx]Dataset!Dataset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rgbClr val="92D050"/>
            </a:solidFill>
            <a:ln w="9525">
              <a:solidFill>
                <a:srgbClr val="FF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Dataset!$AL$2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ot"/>
            <c:size val="5"/>
            <c:spPr>
              <a:solidFill>
                <a:srgbClr val="92D05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Dataset!$AK$3:$AK$5</c:f>
              <c:strCache>
                <c:ptCount val="3"/>
                <c:pt idx="0">
                  <c:v>January Sales</c:v>
                </c:pt>
                <c:pt idx="1">
                  <c:v>Febuary Sales</c:v>
                </c:pt>
                <c:pt idx="2">
                  <c:v>March Sales</c:v>
                </c:pt>
              </c:strCache>
            </c:strRef>
          </c:cat>
          <c:val>
            <c:numRef>
              <c:f>Dataset!$AL$3:$AL$5</c:f>
              <c:numCache>
                <c:formatCode>General</c:formatCode>
                <c:ptCount val="3"/>
                <c:pt idx="0">
                  <c:v>3450</c:v>
                </c:pt>
                <c:pt idx="1">
                  <c:v>3970</c:v>
                </c:pt>
                <c:pt idx="2">
                  <c:v>4390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6-4661-BD03-FD1689B64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53256"/>
        <c:axId val="1304055304"/>
      </c:lineChart>
      <c:catAx>
        <c:axId val="130405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55304"/>
        <c:crosses val="autoZero"/>
        <c:auto val="1"/>
        <c:lblAlgn val="ctr"/>
        <c:lblOffset val="100"/>
        <c:noMultiLvlLbl val="0"/>
      </c:catAx>
      <c:valAx>
        <c:axId val="130405530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53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Solutions -- Joseph Boley.xlsx]Dataset!Dataset 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Breakdown (Sales)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Dataset!$AL$7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Dataset!$AK$8:$AK$13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Dataset!$AL$8:$AL$13</c:f>
              <c:numCache>
                <c:formatCode>General</c:formatCode>
                <c:ptCount val="5"/>
                <c:pt idx="0">
                  <c:v>710</c:v>
                </c:pt>
                <c:pt idx="1">
                  <c:v>1800</c:v>
                </c:pt>
                <c:pt idx="2">
                  <c:v>7400</c:v>
                </c:pt>
                <c:pt idx="3">
                  <c:v>850</c:v>
                </c:pt>
                <c:pt idx="4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8-4DD2-9256-873D95989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13</xdr:row>
      <xdr:rowOff>66675</xdr:rowOff>
    </xdr:from>
    <xdr:to>
      <xdr:col>13</xdr:col>
      <xdr:colOff>381000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CAC4B1-002F-4835-587C-9F767D1BA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13</xdr:row>
      <xdr:rowOff>95250</xdr:rowOff>
    </xdr:from>
    <xdr:to>
      <xdr:col>6</xdr:col>
      <xdr:colOff>476250</xdr:colOff>
      <xdr:row>34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729A1-DE63-1935-7A61-782F86FB56FC}"/>
            </a:ext>
            <a:ext uri="{147F2762-F138-4A5C-976F-8EAC2B608ADB}">
              <a16:predDERef xmlns:a16="http://schemas.microsoft.com/office/drawing/2014/main" pred="{E3CAC4B1-002F-4835-587C-9F767D1BA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ph Boley" id="{EB336CB9-CAB7-4C59-A85D-0ABB8730CAB2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58.82853564815" refreshedVersion="8" recordCount="9" xr:uid="{00000000-000A-0000-FFFF-FFFF01000000}">
  <cacheSource type="worksheet">
    <worksheetSource ref="A1:F10" sheet="Dataset"/>
  </cacheSource>
  <cacheFields count="6">
    <cacheField name="Product" numFmtId="0">
      <sharedItems/>
    </cacheField>
    <cacheField name="Category" numFmtId="0">
      <sharedItems count="5">
        <s v="Electronics"/>
        <s v="Furniture"/>
        <s v="Appliances"/>
        <s v="Clothing"/>
        <s v="Footware"/>
      </sharedItems>
    </cacheField>
    <cacheField name="Jan Sales" numFmtId="164">
      <sharedItems containsSemiMixedTypes="0" containsString="0" containsNumber="1" containsInteger="1" minValue="80" maxValue="1200"/>
    </cacheField>
    <cacheField name="Feb Sales" numFmtId="164">
      <sharedItems containsSemiMixedTypes="0" containsString="0" containsNumber="1" containsInteger="1" minValue="100" maxValue="1400"/>
    </cacheField>
    <cacheField name="Mar Sales" numFmtId="164">
      <sharedItems containsSemiMixedTypes="0" containsString="0" containsNumber="1" containsInteger="1" minValue="110" maxValue="1350"/>
    </cacheField>
    <cacheField name="Total" numFmtId="164">
      <sharedItems containsSemiMixedTypes="0" containsString="0" containsNumber="1" containsInteger="1" minValue="290" maxValue="3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58.82853564815" refreshedVersion="8" recordCount="9" xr:uid="{00000000-000A-0000-FFFF-FFFF00000000}">
  <cacheSource type="worksheet">
    <worksheetSource ref="C1:E11" sheet="Dataset"/>
  </cacheSource>
  <cacheFields count="3">
    <cacheField name="Jan Sales" numFmtId="164">
      <sharedItems containsSemiMixedTypes="0" containsString="0" containsNumber="1" containsInteger="1" minValue="80" maxValue="1200"/>
    </cacheField>
    <cacheField name="Feb Sales" numFmtId="164">
      <sharedItems containsSemiMixedTypes="0" containsString="0" containsNumber="1" containsInteger="1" minValue="100" maxValue="1400"/>
    </cacheField>
    <cacheField name="Mar Sales" numFmtId="164">
      <sharedItems containsSemiMixedTypes="0" containsString="0" containsNumber="1" containsInteger="1" minValue="110" maxValue="1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Laptop"/>
    <x v="0"/>
    <n v="1200"/>
    <n v="1400"/>
    <n v="1350"/>
    <n v="3950"/>
  </r>
  <r>
    <s v="Smartphone"/>
    <x v="0"/>
    <n v="800"/>
    <n v="950"/>
    <n v="1100"/>
    <n v="2850"/>
  </r>
  <r>
    <s v="Headphones"/>
    <x v="0"/>
    <n v="150"/>
    <n v="200"/>
    <n v="250"/>
    <n v="600"/>
  </r>
  <r>
    <s v="Desk Chair"/>
    <x v="1"/>
    <n v="350"/>
    <n v="300"/>
    <n v="400"/>
    <n v="1050"/>
  </r>
  <r>
    <s v="Coffee Maker"/>
    <x v="2"/>
    <n v="120"/>
    <n v="140"/>
    <n v="160"/>
    <n v="420"/>
  </r>
  <r>
    <s v="Blender"/>
    <x v="2"/>
    <n v="80"/>
    <n v="100"/>
    <n v="110"/>
    <n v="290"/>
  </r>
  <r>
    <s v="T-Shirt"/>
    <x v="3"/>
    <n v="200"/>
    <n v="250"/>
    <n v="300"/>
    <n v="750"/>
  </r>
  <r>
    <s v="Jeans"/>
    <x v="3"/>
    <n v="300"/>
    <n v="350"/>
    <n v="400"/>
    <n v="1050"/>
  </r>
  <r>
    <s v="Sneakers"/>
    <x v="4"/>
    <n v="250"/>
    <n v="280"/>
    <n v="320"/>
    <n v="8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200"/>
    <n v="1400"/>
    <n v="1350"/>
  </r>
  <r>
    <n v="800"/>
    <n v="950"/>
    <n v="1100"/>
  </r>
  <r>
    <n v="150"/>
    <n v="200"/>
    <n v="250"/>
  </r>
  <r>
    <n v="350"/>
    <n v="300"/>
    <n v="400"/>
  </r>
  <r>
    <n v="120"/>
    <n v="140"/>
    <n v="160"/>
  </r>
  <r>
    <n v="80"/>
    <n v="100"/>
    <n v="110"/>
  </r>
  <r>
    <n v="200"/>
    <n v="250"/>
    <n v="300"/>
  </r>
  <r>
    <n v="300"/>
    <n v="350"/>
    <n v="400"/>
  </r>
  <r>
    <n v="250"/>
    <n v="280"/>
    <n v="3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Dataset" cacheId="799" dataOnRows="1" applyNumberFormats="0" applyBorderFormats="0" applyFontFormats="0" applyPatternFormats="0" applyAlignmentFormats="0" applyWidthHeightFormats="0" dataCaption="" updatedVersion="8" compact="0" compactData="0" chartFormat="1">
  <location ref="AK2:AL5" firstHeaderRow="1" firstDataRow="1" firstDataCol="1"/>
  <pivotFields count="3">
    <pivotField name="Jan Sales" dataField="1" compact="0" numFmtId="164" outline="0" multipleItemSelectionAllowed="1" showAll="0"/>
    <pivotField name="Feb Sales" dataField="1" compact="0" numFmtId="164" outline="0" multipleItemSelectionAllowed="1" showAll="0"/>
    <pivotField name="Mar Sales" dataField="1" compact="0" numFmtId="164" outline="0" multipleItemSelectionAllowed="1"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January Sales" fld="0" baseField="0"/>
    <dataField name="Febuary Sales" fld="1" baseField="0"/>
    <dataField name="March Sales" fld="2" baseField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Dataset 2" cacheId="796" applyNumberFormats="0" applyBorderFormats="0" applyFontFormats="0" applyPatternFormats="0" applyAlignmentFormats="0" applyWidthHeightFormats="0" dataCaption="" updatedVersion="8" compact="0" compactData="0" chartFormat="1">
  <location ref="AK7:AL13" firstHeaderRow="1" firstDataRow="1" firstDataCol="1"/>
  <pivotFields count="6">
    <pivotField name="Product" compact="0" outline="0" multipleItemSelectionAllowed="1" showAll="0"/>
    <pivotField name="Category" axis="axisRow" compact="0" outline="0" multipleItemSelectionAllowed="1" showAll="0" sortType="ascending">
      <items count="6">
        <item x="2"/>
        <item x="3"/>
        <item x="0"/>
        <item x="4"/>
        <item x="1"/>
        <item t="default"/>
      </items>
    </pivotField>
    <pivotField name="Jan Sales" compact="0" numFmtId="164" outline="0" multipleItemSelectionAllowed="1" showAll="0"/>
    <pivotField name="Feb Sales" compact="0" numFmtId="164" outline="0" multipleItemSelectionAllowed="1" showAll="0"/>
    <pivotField name="Mar Sales" compact="0" numFmtId="164" outline="0" multipleItemSelectionAllowed="1" showAll="0"/>
    <pivotField name="Total" dataField="1" compact="0" numFmtId="164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5" baseField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BC8A5-9DBB-4072-89A1-2EC6BB43D471}" name="Table1" displayName="Table1" ref="C1:E10" totalsRowShown="0" tableBorderDxfId="3">
  <autoFilter ref="C1:E10" xr:uid="{A5EBC8A5-9DBB-4072-89A1-2EC6BB43D471}"/>
  <tableColumns count="3">
    <tableColumn id="1" xr3:uid="{767D4704-0E5C-47D9-A922-9A15820E6ACF}" name="Jan Sales" dataDxfId="2"/>
    <tableColumn id="2" xr3:uid="{B8E47989-C566-4B38-9DFA-C0EF3DF45872}" name="Feb Sales" dataDxfId="1"/>
    <tableColumn id="3" xr3:uid="{AAD6C281-5AA0-46E5-82E8-8212B4B985C8}" name="Mar Sal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6-05-16T20:24:16.00" personId="{EB336CB9-CAB7-4C59-A85D-0ABB8730CAB2}" id="{8162CDE3-1BC3-48C4-BCB1-62AFBD43EEE5}" done="1">
    <text>Felt weird without having these totals, especially with the newer formulas being recommended 05.16 JB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microsoft.com/office/2017/10/relationships/threadedComment" Target="../threadedComments/threadedComment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abSelected="1" workbookViewId="0">
      <selection activeCell="S22" sqref="S22"/>
    </sheetView>
  </sheetViews>
  <sheetFormatPr defaultColWidth="14.42578125" defaultRowHeight="15" customHeight="1"/>
  <cols>
    <col min="1" max="1" width="12.28515625" customWidth="1"/>
    <col min="2" max="2" width="10.42578125" customWidth="1"/>
    <col min="3" max="3" width="15.28515625" customWidth="1"/>
    <col min="4" max="5" width="19.42578125" customWidth="1"/>
    <col min="6" max="7" width="10.7109375" customWidth="1"/>
    <col min="8" max="8" width="8.7109375" customWidth="1"/>
    <col min="9" max="9" width="21.7109375" customWidth="1"/>
    <col min="10" max="10" width="22" customWidth="1"/>
    <col min="11" max="11" width="18.140625" customWidth="1"/>
    <col min="12" max="36" width="8.7109375" customWidth="1"/>
    <col min="37" max="37" width="12.85546875" customWidth="1"/>
    <col min="38" max="38" width="12" customWidth="1"/>
    <col min="39" max="76" width="8.7109375" customWidth="1"/>
  </cols>
  <sheetData>
    <row r="1" spans="1:39" ht="22.5" customHeight="1">
      <c r="A1" s="1" t="s">
        <v>0</v>
      </c>
      <c r="B1" s="2" t="s">
        <v>1</v>
      </c>
      <c r="C1" s="37" t="s">
        <v>2</v>
      </c>
      <c r="D1" s="38" t="s">
        <v>3</v>
      </c>
      <c r="E1" s="38" t="s">
        <v>4</v>
      </c>
      <c r="F1" s="25" t="s">
        <v>5</v>
      </c>
      <c r="G1" s="3"/>
      <c r="I1" s="32" t="s">
        <v>6</v>
      </c>
      <c r="J1" s="39"/>
    </row>
    <row r="2" spans="1:39" ht="22.5" customHeight="1">
      <c r="A2" s="4" t="s">
        <v>7</v>
      </c>
      <c r="B2" s="5" t="s">
        <v>8</v>
      </c>
      <c r="C2" s="35">
        <v>1200</v>
      </c>
      <c r="D2" s="26">
        <v>1400</v>
      </c>
      <c r="E2" s="26">
        <v>1350</v>
      </c>
      <c r="F2" s="27">
        <f t="shared" ref="F2:F10" si="0">SUM(C2:E2)</f>
        <v>3950</v>
      </c>
      <c r="G2" s="6"/>
      <c r="I2" s="7" t="s">
        <v>9</v>
      </c>
      <c r="J2" s="8">
        <f>SUM(F2:F11)</f>
        <v>11810</v>
      </c>
      <c r="AK2" s="15" t="s">
        <v>10</v>
      </c>
      <c r="AL2" s="16"/>
    </row>
    <row r="3" spans="1:39" ht="22.5" customHeight="1">
      <c r="A3" s="4" t="s">
        <v>11</v>
      </c>
      <c r="B3" s="5" t="s">
        <v>8</v>
      </c>
      <c r="C3" s="36">
        <v>800</v>
      </c>
      <c r="D3" s="28">
        <v>950</v>
      </c>
      <c r="E3" s="28">
        <v>1100</v>
      </c>
      <c r="F3" s="29">
        <f t="shared" si="0"/>
        <v>2850</v>
      </c>
      <c r="G3" s="6"/>
      <c r="I3" s="9" t="s">
        <v>12</v>
      </c>
      <c r="J3" s="8">
        <f>AVERAGE(C2:E10)</f>
        <v>437.40740740740739</v>
      </c>
      <c r="AK3" s="17" t="s">
        <v>13</v>
      </c>
      <c r="AL3" s="18">
        <v>3450</v>
      </c>
      <c r="AM3" s="10" t="s">
        <v>2</v>
      </c>
    </row>
    <row r="4" spans="1:39" ht="22.5" customHeight="1">
      <c r="A4" s="4" t="s">
        <v>14</v>
      </c>
      <c r="B4" s="5" t="s">
        <v>8</v>
      </c>
      <c r="C4" s="35">
        <v>150</v>
      </c>
      <c r="D4" s="26">
        <v>200</v>
      </c>
      <c r="E4" s="26">
        <v>250</v>
      </c>
      <c r="F4" s="27">
        <f t="shared" si="0"/>
        <v>600</v>
      </c>
      <c r="G4" s="6"/>
      <c r="I4" s="9" t="s">
        <v>15</v>
      </c>
      <c r="J4" s="8">
        <f>MAX(C2:E10)</f>
        <v>1400</v>
      </c>
      <c r="AK4" s="19" t="s">
        <v>16</v>
      </c>
      <c r="AL4" s="20">
        <v>3970</v>
      </c>
      <c r="AM4" s="10" t="s">
        <v>3</v>
      </c>
    </row>
    <row r="5" spans="1:39" ht="22.5" customHeight="1">
      <c r="A5" s="4" t="s">
        <v>17</v>
      </c>
      <c r="B5" s="5" t="s">
        <v>18</v>
      </c>
      <c r="C5" s="36">
        <v>350</v>
      </c>
      <c r="D5" s="28">
        <v>300</v>
      </c>
      <c r="E5" s="28">
        <v>400</v>
      </c>
      <c r="F5" s="29">
        <f t="shared" si="0"/>
        <v>1050</v>
      </c>
      <c r="G5" s="6"/>
      <c r="I5" s="9" t="s">
        <v>19</v>
      </c>
      <c r="J5" s="8">
        <f>MIN(C2:E10)</f>
        <v>80</v>
      </c>
      <c r="AK5" s="23" t="s">
        <v>20</v>
      </c>
      <c r="AL5" s="24">
        <v>4390</v>
      </c>
      <c r="AM5" s="10" t="s">
        <v>20</v>
      </c>
    </row>
    <row r="6" spans="1:39" ht="22.5" customHeight="1">
      <c r="A6" s="4" t="s">
        <v>21</v>
      </c>
      <c r="B6" s="5" t="s">
        <v>22</v>
      </c>
      <c r="C6" s="35">
        <v>120</v>
      </c>
      <c r="D6" s="26">
        <v>140</v>
      </c>
      <c r="E6" s="26">
        <v>160</v>
      </c>
      <c r="F6" s="27">
        <f t="shared" si="0"/>
        <v>420</v>
      </c>
      <c r="G6" s="6"/>
    </row>
    <row r="7" spans="1:39" ht="22.5" customHeight="1">
      <c r="A7" s="4" t="s">
        <v>23</v>
      </c>
      <c r="B7" s="5" t="s">
        <v>22</v>
      </c>
      <c r="C7" s="36">
        <v>80</v>
      </c>
      <c r="D7" s="28">
        <v>100</v>
      </c>
      <c r="E7" s="28">
        <v>110</v>
      </c>
      <c r="F7" s="29">
        <f t="shared" si="0"/>
        <v>290</v>
      </c>
      <c r="G7" s="6"/>
      <c r="AK7" s="15" t="s">
        <v>1</v>
      </c>
      <c r="AL7" s="16" t="s">
        <v>24</v>
      </c>
    </row>
    <row r="8" spans="1:39" ht="22.5" customHeight="1">
      <c r="A8" s="4" t="s">
        <v>25</v>
      </c>
      <c r="B8" s="5" t="s">
        <v>26</v>
      </c>
      <c r="C8" s="35">
        <v>200</v>
      </c>
      <c r="D8" s="26">
        <v>250</v>
      </c>
      <c r="E8" s="26">
        <v>300</v>
      </c>
      <c r="F8" s="27">
        <f t="shared" si="0"/>
        <v>750</v>
      </c>
      <c r="G8" s="6"/>
      <c r="AK8" s="17" t="s">
        <v>22</v>
      </c>
      <c r="AL8" s="18">
        <v>710</v>
      </c>
    </row>
    <row r="9" spans="1:39" ht="22.5" customHeight="1">
      <c r="A9" s="4" t="s">
        <v>27</v>
      </c>
      <c r="B9" s="5" t="s">
        <v>26</v>
      </c>
      <c r="C9" s="36">
        <v>300</v>
      </c>
      <c r="D9" s="28">
        <v>350</v>
      </c>
      <c r="E9" s="28">
        <v>400</v>
      </c>
      <c r="F9" s="29">
        <f t="shared" si="0"/>
        <v>1050</v>
      </c>
      <c r="G9" s="6"/>
      <c r="AK9" s="19" t="s">
        <v>26</v>
      </c>
      <c r="AL9" s="20">
        <v>1800</v>
      </c>
    </row>
    <row r="10" spans="1:39" ht="22.5" customHeight="1">
      <c r="A10" s="4" t="s">
        <v>28</v>
      </c>
      <c r="B10" s="5" t="s">
        <v>29</v>
      </c>
      <c r="C10" s="35">
        <v>250</v>
      </c>
      <c r="D10" s="26">
        <v>280</v>
      </c>
      <c r="E10" s="26">
        <v>320</v>
      </c>
      <c r="F10" s="27">
        <f t="shared" si="0"/>
        <v>850</v>
      </c>
      <c r="G10" s="6"/>
      <c r="AK10" s="19" t="s">
        <v>8</v>
      </c>
      <c r="AL10" s="20">
        <v>7400</v>
      </c>
    </row>
    <row r="11" spans="1:39" ht="22.5" customHeight="1">
      <c r="A11" s="11" t="s">
        <v>5</v>
      </c>
      <c r="B11" s="12"/>
      <c r="C11" s="33"/>
      <c r="D11" s="34"/>
      <c r="E11" s="30"/>
      <c r="F11" s="31">
        <f>SUM(D11:E11)</f>
        <v>0</v>
      </c>
      <c r="G11" s="6"/>
      <c r="I11" s="13"/>
      <c r="AK11" s="19" t="s">
        <v>29</v>
      </c>
      <c r="AL11" s="20">
        <v>850</v>
      </c>
    </row>
    <row r="12" spans="1:39">
      <c r="I12" s="13"/>
      <c r="AK12" s="19" t="s">
        <v>18</v>
      </c>
      <c r="AL12" s="20">
        <v>1050</v>
      </c>
    </row>
    <row r="13" spans="1:39">
      <c r="C13" s="14"/>
      <c r="I13" s="13"/>
      <c r="AK13" s="21" t="s">
        <v>30</v>
      </c>
      <c r="AL13" s="22">
        <v>11810</v>
      </c>
    </row>
    <row r="14" spans="1:39">
      <c r="C14" s="14"/>
      <c r="D14" s="14"/>
      <c r="I14" s="13"/>
    </row>
    <row r="15" spans="1:39">
      <c r="I15" s="13"/>
    </row>
    <row r="16" spans="1:39">
      <c r="I16" s="13"/>
    </row>
    <row r="17" spans="4:9">
      <c r="I17" s="13"/>
    </row>
    <row r="18" spans="4:9">
      <c r="I18" s="13"/>
    </row>
    <row r="19" spans="4:9">
      <c r="D19" s="13"/>
    </row>
    <row r="21" spans="4:9" ht="15.75" customHeight="1"/>
    <row r="22" spans="4:9" ht="15.75" customHeight="1"/>
    <row r="23" spans="4:9" ht="15.75" customHeight="1"/>
    <row r="24" spans="4:9" ht="15.75" customHeight="1"/>
    <row r="25" spans="4:9" ht="15.75" customHeight="1"/>
    <row r="26" spans="4:9" ht="15.75" customHeight="1"/>
    <row r="27" spans="4:9" ht="15.75" customHeight="1"/>
    <row r="28" spans="4:9" ht="15.75" customHeight="1"/>
    <row r="29" spans="4:9" ht="15.75" customHeight="1"/>
    <row r="30" spans="4:9" ht="15.75" customHeight="1"/>
    <row r="31" spans="4:9" ht="15.75" customHeight="1"/>
    <row r="32" spans="4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1:J1"/>
  </mergeCells>
  <conditionalFormatting sqref="C1:E10">
    <cfRule type="top10" dxfId="4" priority="1" percent="1" rank="10"/>
  </conditionalFormatting>
  <dataValidations count="1">
    <dataValidation type="custom" allowBlank="1" showDropDown="1" sqref="C2:F10 D11:F11" xr:uid="{00000000-0002-0000-0000-000000000000}">
      <formula1>AND(ISNUMBER(C2),(NOT(OR(NOT(ISERROR(DATEVALUE(C2))), AND(ISNUMBER(C2), LEFT(CELL("format", C2))="D")))))</formula1>
    </dataValidation>
  </dataValidations>
  <pageMargins left="0.7" right="0.7" top="0.75" bottom="0.75" header="0" footer="0"/>
  <pageSetup orientation="landscape"/>
  <drawing r:id="rId3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2026-05-17T01:06:25Z</dcterms:created>
  <dcterms:modified xsi:type="dcterms:W3CDTF">2026-05-17T01:06:25Z</dcterms:modified>
  <cp:category/>
  <cp:contentStatus/>
</cp:coreProperties>
</file>